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תונים אישיים" sheetId="1" state="visible" r:id="rId1"/>
    <sheet name="הכנסות" sheetId="2" state="visible" r:id="rId2"/>
    <sheet name="הוצאות" sheetId="3" state="visible" r:id="rId3"/>
    <sheet name="חישוב מס" sheetId="4" state="visible" r:id="rId4"/>
    <sheet name="הנחיות הגש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₪#,##0;(₪#,##0);-"/>
    <numFmt numFmtId="165" formatCode="0%;(0%);-"/>
    <numFmt numFmtId="166" formatCode="0.0%;(0.0%);-"/>
    <numFmt numFmtId="167" formatCode="0.00;-;-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000000"/>
      <sz val="11"/>
    </font>
    <font>
      <name val="Arial"/>
      <color rgb="000000FF"/>
      <sz val="11"/>
    </font>
    <font>
      <name val="Arial"/>
      <i val="1"/>
      <color rgb="00CC6600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000000"/>
      <sz val="12"/>
    </font>
    <font>
      <name val="Arial"/>
      <i val="1"/>
      <color rgb="00CC0000"/>
      <sz val="10"/>
    </font>
    <font>
      <name val="Arial"/>
      <i val="1"/>
      <color rgb="00555555"/>
      <sz val="9"/>
    </font>
    <font>
      <name val="Arial"/>
      <i val="1"/>
      <color rgb="00444444"/>
      <sz val="9"/>
    </font>
    <font>
      <name val="Arial"/>
      <color rgb="00008000"/>
      <sz val="11"/>
    </font>
    <font>
      <name val="Arial"/>
      <i val="1"/>
      <color rgb="00666666"/>
      <sz val="9"/>
    </font>
    <font>
      <name val="Arial"/>
      <b val="1"/>
      <color rgb="00000000"/>
      <sz val="10"/>
    </font>
    <font>
      <name val="Arial"/>
      <b val="1"/>
      <color rgb="000070C0"/>
      <sz val="11"/>
    </font>
    <font>
      <name val="Arial"/>
      <b val="1"/>
      <color rgb="000070C0"/>
      <sz val="12"/>
    </font>
    <font>
      <name val="Arial"/>
      <i val="1"/>
      <color rgb="000070C0"/>
      <sz val="9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FD9"/>
      </patternFill>
    </fill>
    <fill>
      <patternFill patternType="solid">
        <fgColor rgb="00EBF3FB"/>
        <bgColor rgb="00EBF3FB"/>
      </patternFill>
    </fill>
    <fill>
      <patternFill patternType="solid">
        <fgColor rgb="00FFFFD9"/>
        <bgColor rgb="00FFFFD9"/>
      </patternFill>
    </fill>
    <fill>
      <patternFill patternType="solid">
        <fgColor rgb="00FFFFFF"/>
        <bgColor rgb="00FFFFFF"/>
      </patternFill>
    </fill>
    <fill>
      <patternFill patternType="solid">
        <fgColor rgb="009DC3E6"/>
        <bgColor rgb="009DC3E6"/>
      </patternFill>
    </fill>
    <fill>
      <patternFill patternType="solid">
        <fgColor rgb="009DC3E6"/>
      </patternFill>
    </fill>
    <fill>
      <patternFill patternType="solid">
        <fgColor rgb="00D9EAD3"/>
        <bgColor rgb="00D9EA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readingOrder="2"/>
    </xf>
    <xf numFmtId="0" fontId="2" fillId="0" borderId="1" applyAlignment="1" pivotButton="0" quotePrefix="0" xfId="0">
      <alignment horizontal="right" vertical="center" readingOrder="2"/>
    </xf>
    <xf numFmtId="0" fontId="3" fillId="4" borderId="1" applyAlignment="1" pivotButton="0" quotePrefix="0" xfId="0">
      <alignment horizontal="right" vertical="center" readingOrder="2"/>
    </xf>
    <xf numFmtId="0" fontId="4" fillId="0" borderId="0" applyAlignment="1" pivotButton="0" quotePrefix="0" xfId="0">
      <alignment horizontal="right" vertical="center" readingOrder="2"/>
    </xf>
    <xf numFmtId="0" fontId="5" fillId="2" borderId="1" applyAlignment="1" pivotButton="0" quotePrefix="0" xfId="0">
      <alignment horizontal="center" vertical="center" readingOrder="2"/>
    </xf>
    <xf numFmtId="0" fontId="2" fillId="5" borderId="1" applyAlignment="1" pivotButton="0" quotePrefix="0" xfId="0">
      <alignment horizontal="center" vertical="center" readingOrder="2"/>
    </xf>
    <xf numFmtId="164" fontId="3" fillId="6" borderId="1" applyAlignment="1" pivotButton="0" quotePrefix="0" xfId="0">
      <alignment horizontal="center" vertical="center" readingOrder="2"/>
    </xf>
    <xf numFmtId="164" fontId="6" fillId="0" borderId="1" applyAlignment="1" pivotButton="0" quotePrefix="0" xfId="0">
      <alignment horizontal="center" vertical="center" readingOrder="2"/>
    </xf>
    <xf numFmtId="0" fontId="2" fillId="7" borderId="1" applyAlignment="1" pivotButton="0" quotePrefix="0" xfId="0">
      <alignment horizontal="center" vertical="center" readingOrder="2"/>
    </xf>
    <xf numFmtId="0" fontId="7" fillId="8" borderId="1" applyAlignment="1" pivotButton="0" quotePrefix="0" xfId="0">
      <alignment horizontal="center" vertical="center" readingOrder="2"/>
    </xf>
    <xf numFmtId="164" fontId="2" fillId="8" borderId="1" applyAlignment="1" pivotButton="0" quotePrefix="0" xfId="0">
      <alignment horizontal="center" vertical="center" readingOrder="2"/>
    </xf>
    <xf numFmtId="0" fontId="8" fillId="0" borderId="0" applyAlignment="1" pivotButton="0" quotePrefix="0" xfId="0">
      <alignment horizontal="right" vertical="center" readingOrder="2"/>
    </xf>
    <xf numFmtId="0" fontId="6" fillId="5" borderId="1" applyAlignment="1" pivotButton="0" quotePrefix="0" xfId="0">
      <alignment horizontal="right" vertical="center" readingOrder="2"/>
    </xf>
    <xf numFmtId="165" fontId="3" fillId="4" borderId="1" applyAlignment="1" pivotButton="0" quotePrefix="0" xfId="0">
      <alignment horizontal="center" vertical="center" readingOrder="2"/>
    </xf>
    <xf numFmtId="0" fontId="9" fillId="5" borderId="1" applyAlignment="1" pivotButton="0" quotePrefix="0" xfId="0">
      <alignment horizontal="right" vertical="center" readingOrder="2"/>
    </xf>
    <xf numFmtId="0" fontId="6" fillId="7" borderId="1" applyAlignment="1" pivotButton="0" quotePrefix="0" xfId="0">
      <alignment horizontal="right" vertical="center" readingOrder="2"/>
    </xf>
    <xf numFmtId="0" fontId="9" fillId="7" borderId="1" applyAlignment="1" pivotButton="0" quotePrefix="0" xfId="0">
      <alignment horizontal="right" vertical="center" readingOrder="2"/>
    </xf>
    <xf numFmtId="0" fontId="6" fillId="8" borderId="1" applyAlignment="1" pivotButton="0" quotePrefix="0" xfId="0">
      <alignment horizontal="right" vertical="center" readingOrder="2"/>
    </xf>
    <xf numFmtId="0" fontId="10" fillId="0" borderId="0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readingOrder="2"/>
    </xf>
    <xf numFmtId="164" fontId="11" fillId="0" borderId="1" applyAlignment="1" pivotButton="0" quotePrefix="0" xfId="0">
      <alignment horizontal="center" vertical="center" readingOrder="2"/>
    </xf>
    <xf numFmtId="0" fontId="2" fillId="9" borderId="1" applyAlignment="1" pivotButton="0" quotePrefix="0" xfId="0">
      <alignment horizontal="right" vertical="center" readingOrder="2"/>
    </xf>
    <xf numFmtId="164" fontId="2" fillId="9" borderId="1" applyAlignment="1" pivotButton="0" quotePrefix="0" xfId="0">
      <alignment horizontal="center" vertical="center" readingOrder="2"/>
    </xf>
    <xf numFmtId="0" fontId="12" fillId="0" borderId="1" applyAlignment="1" pivotButton="0" quotePrefix="0" xfId="0">
      <alignment horizontal="right" vertical="center" readingOrder="2"/>
    </xf>
    <xf numFmtId="166" fontId="3" fillId="6" borderId="1" applyAlignment="1" pivotButton="0" quotePrefix="0" xfId="0">
      <alignment horizontal="center" vertical="center" readingOrder="2"/>
    </xf>
    <xf numFmtId="0" fontId="2" fillId="8" borderId="1" applyAlignment="1" pivotButton="0" quotePrefix="0" xfId="0">
      <alignment horizontal="right" vertical="center" readingOrder="2"/>
    </xf>
    <xf numFmtId="0" fontId="13" fillId="10" borderId="1" applyAlignment="1" pivotButton="0" quotePrefix="0" xfId="0">
      <alignment horizontal="center" vertical="center" readingOrder="2"/>
    </xf>
    <xf numFmtId="0" fontId="6" fillId="5" borderId="1" applyAlignment="1" pivotButton="0" quotePrefix="0" xfId="0">
      <alignment horizontal="center" vertical="center" readingOrder="2"/>
    </xf>
    <xf numFmtId="164" fontId="3" fillId="4" borderId="1" applyAlignment="1" pivotButton="0" quotePrefix="0" xfId="0">
      <alignment horizontal="center" vertical="center" readingOrder="2"/>
    </xf>
    <xf numFmtId="165" fontId="3" fillId="6" borderId="1" applyAlignment="1" pivotButton="0" quotePrefix="0" xfId="0">
      <alignment horizontal="center" vertical="center" readingOrder="2"/>
    </xf>
    <xf numFmtId="0" fontId="6" fillId="7" borderId="1" applyAlignment="1" pivotButton="0" quotePrefix="0" xfId="0">
      <alignment horizontal="center" vertical="center" readingOrder="2"/>
    </xf>
    <xf numFmtId="49" fontId="3" fillId="4" borderId="1" applyAlignment="1" pivotButton="0" quotePrefix="0" xfId="0">
      <alignment horizontal="center" vertical="center" readingOrder="2"/>
    </xf>
    <xf numFmtId="164" fontId="6" fillId="5" borderId="1" applyAlignment="1" pivotButton="0" quotePrefix="0" xfId="0">
      <alignment horizontal="center" vertical="center" readingOrder="2"/>
    </xf>
    <xf numFmtId="164" fontId="6" fillId="7" borderId="1" applyAlignment="1" pivotButton="0" quotePrefix="0" xfId="0">
      <alignment horizontal="center" vertical="center" readingOrder="2"/>
    </xf>
    <xf numFmtId="167" fontId="3" fillId="6" borderId="1" applyAlignment="1" pivotButton="0" quotePrefix="0" xfId="0">
      <alignment horizontal="center" vertical="center" readingOrder="2"/>
    </xf>
    <xf numFmtId="0" fontId="10" fillId="0" borderId="1" applyAlignment="1" pivotButton="0" quotePrefix="0" xfId="0">
      <alignment horizontal="right" vertical="center" readingOrder="2"/>
    </xf>
    <xf numFmtId="0" fontId="14" fillId="0" borderId="0" applyAlignment="1" pivotButton="0" quotePrefix="0" xfId="0">
      <alignment horizontal="right" vertical="center" readingOrder="2"/>
    </xf>
    <xf numFmtId="164" fontId="15" fillId="0" borderId="1" applyAlignment="1" pivotButton="0" quotePrefix="0" xfId="0">
      <alignment horizontal="center" vertical="center" readingOrder="2"/>
    </xf>
    <xf numFmtId="0" fontId="16" fillId="0" borderId="1" applyAlignment="1" pivotButton="0" quotePrefix="0" xfId="0">
      <alignment horizontal="right" vertical="center" readingOrder="2"/>
    </xf>
    <xf numFmtId="0" fontId="7" fillId="3" borderId="0" applyAlignment="1" pivotButton="0" quotePrefix="0" xfId="0">
      <alignment horizontal="right" vertical="center" readingOrder="2"/>
    </xf>
    <xf numFmtId="0" fontId="6" fillId="0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14" customWidth="1" min="4" max="4"/>
  </cols>
  <sheetData>
    <row r="1" ht="42" customHeight="1">
      <c r="A1" s="1" t="inlineStr">
        <is>
          <t>דוח שנתי מקוצר — עוסק זעיר | שנת מס 2025</t>
        </is>
      </c>
      <c r="B1" s="2" t="n"/>
      <c r="C1" s="2" t="n"/>
      <c r="D1" s="3" t="n"/>
    </row>
    <row r="2" ht="6" customHeight="1"/>
    <row r="3" ht="28" customHeight="1">
      <c r="A3" s="4" t="inlineStr">
        <is>
          <t>פרטים אישיים ועסקיים</t>
        </is>
      </c>
      <c r="B3" s="2" t="n"/>
      <c r="C3" s="2" t="n"/>
      <c r="D3" s="3" t="n"/>
    </row>
    <row r="4">
      <c r="A4" s="5" t="inlineStr">
        <is>
          <t>שם מלא</t>
        </is>
      </c>
      <c r="B4" s="6" t="n"/>
      <c r="C4" s="2" t="n"/>
      <c r="D4" s="3" t="n"/>
    </row>
    <row r="5">
      <c r="A5" s="5" t="inlineStr">
        <is>
          <t>מספר תעודת זהות</t>
        </is>
      </c>
      <c r="B5" s="6" t="n"/>
      <c r="C5" s="2" t="n"/>
      <c r="D5" s="3" t="n"/>
    </row>
    <row r="6">
      <c r="A6" s="5" t="inlineStr">
        <is>
          <t>כתובת מגורים</t>
        </is>
      </c>
      <c r="B6" s="6" t="n"/>
      <c r="C6" s="2" t="n"/>
      <c r="D6" s="3" t="n"/>
    </row>
    <row r="7">
      <c r="A7" s="5" t="inlineStr">
        <is>
          <t>עיר</t>
        </is>
      </c>
      <c r="B7" s="6" t="n"/>
      <c r="C7" s="2" t="n"/>
      <c r="D7" s="3" t="n"/>
    </row>
    <row r="8">
      <c r="A8" s="5" t="inlineStr">
        <is>
          <t>טלפון</t>
        </is>
      </c>
      <c r="B8" s="6" t="n"/>
      <c r="C8" s="2" t="n"/>
      <c r="D8" s="3" t="n"/>
    </row>
    <row r="9">
      <c r="A9" s="5" t="inlineStr">
        <is>
          <t>כתובת דוא"ל</t>
        </is>
      </c>
      <c r="B9" s="6" t="n"/>
      <c r="C9" s="2" t="n"/>
      <c r="D9" s="3" t="n"/>
    </row>
    <row r="11">
      <c r="A11" s="5" t="inlineStr">
        <is>
          <t>תחום עיסוק / סוג עסק</t>
        </is>
      </c>
      <c r="B11" s="6" t="n"/>
      <c r="C11" s="2" t="n"/>
      <c r="D11" s="3" t="n"/>
    </row>
    <row r="12">
      <c r="A12" s="5" t="inlineStr">
        <is>
          <t>מספר עוסק (ח.פ.)</t>
        </is>
      </c>
      <c r="B12" s="6" t="n"/>
      <c r="C12" s="2" t="n"/>
      <c r="D12" s="3" t="n"/>
    </row>
    <row r="13">
      <c r="A13" s="5" t="inlineStr">
        <is>
          <t>תאריך פתיחת עסק</t>
        </is>
      </c>
      <c r="B13" s="6" t="n"/>
      <c r="C13" s="2" t="n"/>
      <c r="D13" s="3" t="n"/>
    </row>
    <row r="14">
      <c r="A14" s="5" t="inlineStr">
        <is>
          <t>שנת מס</t>
        </is>
      </c>
      <c r="B14" s="6" t="n">
        <v>2025</v>
      </c>
      <c r="C14" s="2" t="n"/>
      <c r="D14" s="3" t="n"/>
    </row>
    <row r="16">
      <c r="A16" s="5" t="inlineStr">
        <is>
          <t>מצב משפחתי</t>
        </is>
      </c>
      <c r="B16" s="6" t="inlineStr">
        <is>
          <t>רווק / נשוי / גרוש / אלמן</t>
        </is>
      </c>
      <c r="C16" s="2" t="n"/>
      <c r="D16" s="3" t="n"/>
    </row>
    <row r="17">
      <c r="A17" s="5" t="inlineStr">
        <is>
          <t>מספר ילדים</t>
        </is>
      </c>
      <c r="B17" s="6" t="n"/>
      <c r="C17" s="2" t="n"/>
      <c r="D17" s="3" t="n"/>
    </row>
    <row r="18">
      <c r="A18" s="5" t="inlineStr">
        <is>
          <t>בן/בת זוג עובד?</t>
        </is>
      </c>
      <c r="B18" s="6" t="inlineStr">
        <is>
          <t>כן / לא</t>
        </is>
      </c>
      <c r="C18" s="2" t="n"/>
      <c r="D18" s="3" t="n"/>
    </row>
    <row r="20">
      <c r="A20" s="7" t="inlineStr">
        <is>
          <t>הערה: מלא את כל השדות בצבע כחול. מידע זה נדרש בהגשת הדוח לרשות המסים.</t>
        </is>
      </c>
    </row>
  </sheetData>
  <mergeCells count="16">
    <mergeCell ref="A1:D1"/>
    <mergeCell ref="B11:D11"/>
    <mergeCell ref="B5:D5"/>
    <mergeCell ref="B14:D14"/>
    <mergeCell ref="B8:D8"/>
    <mergeCell ref="A3:D3"/>
    <mergeCell ref="B4:D4"/>
    <mergeCell ref="A20:D20"/>
    <mergeCell ref="B17:D17"/>
    <mergeCell ref="B9:D9"/>
    <mergeCell ref="B13:D13"/>
    <mergeCell ref="B18:D18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20" customWidth="1" min="5" max="5"/>
  </cols>
  <sheetData>
    <row r="1" ht="36" customHeight="1">
      <c r="A1" s="8" t="inlineStr">
        <is>
          <t>הכנסות שנת מס 2025</t>
        </is>
      </c>
      <c r="B1" s="2" t="n"/>
      <c r="C1" s="2" t="n"/>
      <c r="D1" s="2" t="n"/>
      <c r="E1" s="3" t="n"/>
    </row>
    <row r="2" ht="6" customHeight="1"/>
    <row r="3" ht="30" customHeight="1">
      <c r="A3" s="4" t="inlineStr">
        <is>
          <t>חודש</t>
        </is>
      </c>
      <c r="B3" s="4" t="inlineStr">
        <is>
          <t>הכנסות מעסק (₪)</t>
        </is>
      </c>
      <c r="C3" s="4" t="inlineStr">
        <is>
          <t>הכנסות ממשכורת (₪)</t>
        </is>
      </c>
      <c r="D3" s="4" t="inlineStr">
        <is>
          <t>הכנסות אחרות (₪)</t>
        </is>
      </c>
      <c r="E3" s="4" t="inlineStr">
        <is>
          <t>סה"כ חודשי (₪)</t>
        </is>
      </c>
    </row>
    <row r="4">
      <c r="A4" s="9" t="inlineStr">
        <is>
          <t>ינואר</t>
        </is>
      </c>
      <c r="B4" s="10" t="n">
        <v>0</v>
      </c>
      <c r="C4" s="10" t="n">
        <v>0</v>
      </c>
      <c r="D4" s="10" t="n">
        <v>0</v>
      </c>
      <c r="E4" s="11">
        <f>B4+C4+D4</f>
        <v/>
      </c>
    </row>
    <row r="5">
      <c r="A5" s="12" t="inlineStr">
        <is>
          <t>פברואר</t>
        </is>
      </c>
      <c r="B5" s="10" t="n">
        <v>0</v>
      </c>
      <c r="C5" s="10" t="n">
        <v>0</v>
      </c>
      <c r="D5" s="10" t="n">
        <v>0</v>
      </c>
      <c r="E5" s="11">
        <f>B5+C5+D5</f>
        <v/>
      </c>
    </row>
    <row r="6">
      <c r="A6" s="9" t="inlineStr">
        <is>
          <t>מרץ</t>
        </is>
      </c>
      <c r="B6" s="10" t="n">
        <v>0</v>
      </c>
      <c r="C6" s="10" t="n">
        <v>0</v>
      </c>
      <c r="D6" s="10" t="n">
        <v>0</v>
      </c>
      <c r="E6" s="11">
        <f>B6+C6+D6</f>
        <v/>
      </c>
    </row>
    <row r="7">
      <c r="A7" s="12" t="inlineStr">
        <is>
          <t>אפריל</t>
        </is>
      </c>
      <c r="B7" s="10" t="n">
        <v>0</v>
      </c>
      <c r="C7" s="10" t="n">
        <v>0</v>
      </c>
      <c r="D7" s="10" t="n">
        <v>0</v>
      </c>
      <c r="E7" s="11">
        <f>B7+C7+D7</f>
        <v/>
      </c>
    </row>
    <row r="8">
      <c r="A8" s="9" t="inlineStr">
        <is>
          <t>מאי</t>
        </is>
      </c>
      <c r="B8" s="10" t="n">
        <v>0</v>
      </c>
      <c r="C8" s="10" t="n">
        <v>0</v>
      </c>
      <c r="D8" s="10" t="n">
        <v>0</v>
      </c>
      <c r="E8" s="11">
        <f>B8+C8+D8</f>
        <v/>
      </c>
    </row>
    <row r="9">
      <c r="A9" s="12" t="inlineStr">
        <is>
          <t>יוני</t>
        </is>
      </c>
      <c r="B9" s="10" t="n">
        <v>0</v>
      </c>
      <c r="C9" s="10" t="n">
        <v>0</v>
      </c>
      <c r="D9" s="10" t="n">
        <v>0</v>
      </c>
      <c r="E9" s="11">
        <f>B9+C9+D9</f>
        <v/>
      </c>
    </row>
    <row r="10">
      <c r="A10" s="9" t="inlineStr">
        <is>
          <t>יולי</t>
        </is>
      </c>
      <c r="B10" s="10" t="n">
        <v>0</v>
      </c>
      <c r="C10" s="10" t="n">
        <v>0</v>
      </c>
      <c r="D10" s="10" t="n">
        <v>0</v>
      </c>
      <c r="E10" s="11">
        <f>B10+C10+D10</f>
        <v/>
      </c>
    </row>
    <row r="11">
      <c r="A11" s="12" t="inlineStr">
        <is>
          <t>אוגוסט</t>
        </is>
      </c>
      <c r="B11" s="10" t="n">
        <v>0</v>
      </c>
      <c r="C11" s="10" t="n">
        <v>0</v>
      </c>
      <c r="D11" s="10" t="n">
        <v>0</v>
      </c>
      <c r="E11" s="11">
        <f>B11+C11+D11</f>
        <v/>
      </c>
    </row>
    <row r="12">
      <c r="A12" s="9" t="inlineStr">
        <is>
          <t>ספטמבר</t>
        </is>
      </c>
      <c r="B12" s="10" t="n">
        <v>0</v>
      </c>
      <c r="C12" s="10" t="n">
        <v>0</v>
      </c>
      <c r="D12" s="10" t="n">
        <v>0</v>
      </c>
      <c r="E12" s="11">
        <f>B12+C12+D12</f>
        <v/>
      </c>
    </row>
    <row r="13">
      <c r="A13" s="12" t="inlineStr">
        <is>
          <t>אוקטובר</t>
        </is>
      </c>
      <c r="B13" s="10" t="n">
        <v>0</v>
      </c>
      <c r="C13" s="10" t="n">
        <v>0</v>
      </c>
      <c r="D13" s="10" t="n">
        <v>0</v>
      </c>
      <c r="E13" s="11">
        <f>B13+C13+D13</f>
        <v/>
      </c>
    </row>
    <row r="14">
      <c r="A14" s="9" t="inlineStr">
        <is>
          <t>נובמבר</t>
        </is>
      </c>
      <c r="B14" s="10" t="n">
        <v>0</v>
      </c>
      <c r="C14" s="10" t="n">
        <v>0</v>
      </c>
      <c r="D14" s="10" t="n">
        <v>0</v>
      </c>
      <c r="E14" s="11">
        <f>B14+C14+D14</f>
        <v/>
      </c>
    </row>
    <row r="15">
      <c r="A15" s="12" t="inlineStr">
        <is>
          <t>דצמבר</t>
        </is>
      </c>
      <c r="B15" s="10" t="n">
        <v>0</v>
      </c>
      <c r="C15" s="10" t="n">
        <v>0</v>
      </c>
      <c r="D15" s="10" t="n">
        <v>0</v>
      </c>
      <c r="E15" s="11">
        <f>B15+C15+D15</f>
        <v/>
      </c>
    </row>
    <row r="16" ht="28" customHeight="1">
      <c r="A16" s="13" t="inlineStr">
        <is>
          <t>סה"כ שנתי</t>
        </is>
      </c>
      <c r="B16" s="14">
        <f>SUM(B4:B15)</f>
        <v/>
      </c>
      <c r="C16" s="14">
        <f>SUM(C4:C15)</f>
        <v/>
      </c>
      <c r="D16" s="14">
        <f>SUM(D4:D15)</f>
        <v/>
      </c>
      <c r="E16" s="14">
        <f>SUM(E4:E15)</f>
        <v/>
      </c>
    </row>
    <row r="18">
      <c r="A18" s="15" t="inlineStr">
        <is>
          <t>⚠  סף עוסק זעיר לשנת 2025: כ-120,000 ₪ מחזור שנתי (כולל מע"מ)</t>
        </is>
      </c>
    </row>
  </sheetData>
  <mergeCells count="2">
    <mergeCell ref="A1:E1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2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2" customWidth="1" min="3" max="3"/>
    <col width="22" customWidth="1" min="4" max="4"/>
    <col width="35" customWidth="1" min="5" max="5"/>
  </cols>
  <sheetData>
    <row r="1" ht="36" customHeight="1">
      <c r="A1" s="8" t="inlineStr">
        <is>
          <t>הוצאות עסקיות שנת מס 2025</t>
        </is>
      </c>
      <c r="B1" s="2" t="n"/>
      <c r="C1" s="2" t="n"/>
      <c r="D1" s="2" t="n"/>
      <c r="E1" s="3" t="n"/>
    </row>
    <row r="2" ht="6" customHeight="1"/>
    <row r="3" ht="30" customHeight="1">
      <c r="A3" s="4" t="inlineStr">
        <is>
          <t>קטגוריית הוצאה</t>
        </is>
      </c>
      <c r="B3" s="4" t="inlineStr">
        <is>
          <t>סכום ששולם (₪)</t>
        </is>
      </c>
      <c r="C3" s="4" t="inlineStr">
        <is>
          <t>% הכרה</t>
        </is>
      </c>
      <c r="D3" s="4" t="inlineStr">
        <is>
          <t>סכום מוכר (₪)</t>
        </is>
      </c>
      <c r="E3" s="4" t="inlineStr">
        <is>
          <t>הערות</t>
        </is>
      </c>
    </row>
    <row r="4">
      <c r="A4" s="16" t="inlineStr">
        <is>
          <t>שכר דירה משרד / חלק עסקי מהבית</t>
        </is>
      </c>
      <c r="B4" s="10" t="n">
        <v>0</v>
      </c>
      <c r="C4" s="17" t="n">
        <v>1</v>
      </c>
      <c r="D4" s="11">
        <f>B4*C4</f>
        <v/>
      </c>
      <c r="E4" s="18" t="inlineStr"/>
    </row>
    <row r="5">
      <c r="A5" s="19" t="inlineStr">
        <is>
          <t>ציוד משרדי ורהיטים</t>
        </is>
      </c>
      <c r="B5" s="10" t="n">
        <v>0</v>
      </c>
      <c r="C5" s="17" t="n">
        <v>1</v>
      </c>
      <c r="D5" s="11">
        <f>B5*C5</f>
        <v/>
      </c>
      <c r="E5" s="20" t="inlineStr"/>
    </row>
    <row r="6">
      <c r="A6" s="16" t="inlineStr">
        <is>
          <t>מחשבים ותוכנות</t>
        </is>
      </c>
      <c r="B6" s="10" t="n">
        <v>0</v>
      </c>
      <c r="C6" s="17" t="n">
        <v>1</v>
      </c>
      <c r="D6" s="11">
        <f>B6*C6</f>
        <v/>
      </c>
      <c r="E6" s="18" t="inlineStr"/>
    </row>
    <row r="7">
      <c r="A7" s="19" t="inlineStr">
        <is>
          <t>שיווק ופרסום</t>
        </is>
      </c>
      <c r="B7" s="10" t="n">
        <v>0</v>
      </c>
      <c r="C7" s="17" t="n">
        <v>1</v>
      </c>
      <c r="D7" s="11">
        <f>B7*C7</f>
        <v/>
      </c>
      <c r="E7" s="20" t="inlineStr"/>
    </row>
    <row r="8">
      <c r="A8" s="16" t="inlineStr">
        <is>
          <t>טלפון נייד — חלק עסקי</t>
        </is>
      </c>
      <c r="B8" s="10" t="n">
        <v>0</v>
      </c>
      <c r="C8" s="17" t="n">
        <v>0.5</v>
      </c>
      <c r="D8" s="11">
        <f>B8*C8</f>
        <v/>
      </c>
      <c r="E8" s="18" t="inlineStr">
        <is>
          <t>50% הכרה לפי רשות המסים</t>
        </is>
      </c>
    </row>
    <row r="9">
      <c r="A9" s="19" t="inlineStr">
        <is>
          <t>אינטרנט — חלק עסקי</t>
        </is>
      </c>
      <c r="B9" s="10" t="n">
        <v>0</v>
      </c>
      <c r="C9" s="17" t="n">
        <v>0.5</v>
      </c>
      <c r="D9" s="11">
        <f>B9*C9</f>
        <v/>
      </c>
      <c r="E9" s="20" t="inlineStr">
        <is>
          <t>50% הכרה</t>
        </is>
      </c>
    </row>
    <row r="10">
      <c r="A10" s="16" t="inlineStr">
        <is>
          <t>נסיעות (תחב"צ / מוניות)</t>
        </is>
      </c>
      <c r="B10" s="10" t="n">
        <v>0</v>
      </c>
      <c r="C10" s="17" t="n">
        <v>1</v>
      </c>
      <c r="D10" s="11">
        <f>B10*C10</f>
        <v/>
      </c>
      <c r="E10" s="18" t="inlineStr"/>
    </row>
    <row r="11">
      <c r="A11" s="19" t="inlineStr">
        <is>
          <t>רכב — דלק</t>
        </is>
      </c>
      <c r="B11" s="10" t="n">
        <v>0</v>
      </c>
      <c r="C11" s="17" t="n">
        <v>0.45</v>
      </c>
      <c r="D11" s="11">
        <f>B11*C11</f>
        <v/>
      </c>
      <c r="E11" s="20" t="inlineStr">
        <is>
          <t>45% הכרה לפי חוזר מ"ה</t>
        </is>
      </c>
    </row>
    <row r="12">
      <c r="A12" s="16" t="inlineStr">
        <is>
          <t>רכב — ביטוח</t>
        </is>
      </c>
      <c r="B12" s="10" t="n">
        <v>0</v>
      </c>
      <c r="C12" s="17" t="n">
        <v>0.45</v>
      </c>
      <c r="D12" s="11">
        <f>B12*C12</f>
        <v/>
      </c>
      <c r="E12" s="18" t="inlineStr">
        <is>
          <t>45% הכרה</t>
        </is>
      </c>
    </row>
    <row r="13">
      <c r="A13" s="19" t="inlineStr">
        <is>
          <t>רכב — אחזקה ותיקונים</t>
        </is>
      </c>
      <c r="B13" s="10" t="n">
        <v>0</v>
      </c>
      <c r="C13" s="17" t="n">
        <v>0.45</v>
      </c>
      <c r="D13" s="11">
        <f>B13*C13</f>
        <v/>
      </c>
      <c r="E13" s="20" t="inlineStr">
        <is>
          <t>45% הכרה</t>
        </is>
      </c>
    </row>
    <row r="14">
      <c r="A14" s="16" t="inlineStr">
        <is>
          <t>ארוחות עסקיות</t>
        </is>
      </c>
      <c r="B14" s="10" t="n">
        <v>0</v>
      </c>
      <c r="C14" s="17" t="n">
        <v>0.8</v>
      </c>
      <c r="D14" s="11">
        <f>B14*C14</f>
        <v/>
      </c>
      <c r="E14" s="18" t="inlineStr">
        <is>
          <t>80% הכרה</t>
        </is>
      </c>
    </row>
    <row r="15">
      <c r="A15" s="19" t="inlineStr">
        <is>
          <t>ביגוד מקצועי ייחודי</t>
        </is>
      </c>
      <c r="B15" s="10" t="n">
        <v>0</v>
      </c>
      <c r="C15" s="17" t="n">
        <v>1</v>
      </c>
      <c r="D15" s="11">
        <f>B15*C15</f>
        <v/>
      </c>
      <c r="E15" s="20" t="inlineStr">
        <is>
          <t>ביגוד שאינו לשימוש פרטי</t>
        </is>
      </c>
    </row>
    <row r="16">
      <c r="A16" s="16" t="inlineStr">
        <is>
          <t>ספרות מקצועית וקורסים</t>
        </is>
      </c>
      <c r="B16" s="10" t="n">
        <v>0</v>
      </c>
      <c r="C16" s="17" t="n">
        <v>1</v>
      </c>
      <c r="D16" s="11">
        <f>B16*C16</f>
        <v/>
      </c>
      <c r="E16" s="18" t="inlineStr"/>
    </row>
    <row r="17">
      <c r="A17" s="19" t="inlineStr">
        <is>
          <t>ביטוח עסקי</t>
        </is>
      </c>
      <c r="B17" s="10" t="n">
        <v>0</v>
      </c>
      <c r="C17" s="17" t="n">
        <v>1</v>
      </c>
      <c r="D17" s="11">
        <f>B17*C17</f>
        <v/>
      </c>
      <c r="E17" s="20" t="inlineStr"/>
    </row>
    <row r="18">
      <c r="A18" s="16" t="inlineStr">
        <is>
          <t>שירותי רואה חשבון / יועץ מס</t>
        </is>
      </c>
      <c r="B18" s="10" t="n">
        <v>0</v>
      </c>
      <c r="C18" s="17" t="n">
        <v>1</v>
      </c>
      <c r="D18" s="11">
        <f>B18*C18</f>
        <v/>
      </c>
      <c r="E18" s="18" t="inlineStr"/>
    </row>
    <row r="19">
      <c r="A19" s="19" t="inlineStr">
        <is>
          <t>שירותי עו"ד עסקיים</t>
        </is>
      </c>
      <c r="B19" s="10" t="n">
        <v>0</v>
      </c>
      <c r="C19" s="17" t="n">
        <v>1</v>
      </c>
      <c r="D19" s="11">
        <f>B19*C19</f>
        <v/>
      </c>
      <c r="E19" s="20" t="inlineStr"/>
    </row>
    <row r="20">
      <c r="A20" s="16" t="inlineStr">
        <is>
          <t>עמלות בנק עסקיות</t>
        </is>
      </c>
      <c r="B20" s="10" t="n">
        <v>0</v>
      </c>
      <c r="C20" s="17" t="n">
        <v>1</v>
      </c>
      <c r="D20" s="11">
        <f>B20*C20</f>
        <v/>
      </c>
      <c r="E20" s="18" t="inlineStr"/>
    </row>
    <row r="21">
      <c r="A21" s="19" t="inlineStr">
        <is>
          <t>הוצאות משרד כלליות</t>
        </is>
      </c>
      <c r="B21" s="10" t="n">
        <v>0</v>
      </c>
      <c r="C21" s="17" t="n">
        <v>1</v>
      </c>
      <c r="D21" s="11">
        <f>B21*C21</f>
        <v/>
      </c>
      <c r="E21" s="20" t="inlineStr"/>
    </row>
    <row r="22">
      <c r="A22" s="16" t="inlineStr">
        <is>
          <t>הפרשות לקרן השתלמות</t>
        </is>
      </c>
      <c r="B22" s="10" t="n">
        <v>0</v>
      </c>
      <c r="C22" s="17" t="n">
        <v>1</v>
      </c>
      <c r="D22" s="11">
        <f>B22*C22</f>
        <v/>
      </c>
      <c r="E22" s="18" t="inlineStr">
        <is>
          <t>עד תקרה מוכרת</t>
        </is>
      </c>
    </row>
    <row r="23">
      <c r="A23" s="19" t="inlineStr">
        <is>
          <t>אחר</t>
        </is>
      </c>
      <c r="B23" s="10" t="n">
        <v>0</v>
      </c>
      <c r="C23" s="17" t="n">
        <v>1</v>
      </c>
      <c r="D23" s="11">
        <f>B23*C23</f>
        <v/>
      </c>
      <c r="E23" s="20" t="inlineStr"/>
    </row>
    <row r="24" ht="28" customHeight="1">
      <c r="A24" s="13" t="inlineStr">
        <is>
          <t>סה"כ הוצאות מוכרות</t>
        </is>
      </c>
      <c r="B24" s="14">
        <f>SUM(B4:B23)</f>
        <v/>
      </c>
      <c r="C24" s="21" t="inlineStr"/>
      <c r="D24" s="14">
        <f>SUM(D4:D23)</f>
        <v/>
      </c>
      <c r="E24" s="21" t="inlineStr"/>
    </row>
    <row r="26">
      <c r="A26" s="7" t="inlineStr">
        <is>
          <t>💡 עמודת % ההכרה ניתנת לשינוי ידני לפי נסיבות. מומלץ להתייעץ עם רו"ח.</t>
        </is>
      </c>
    </row>
  </sheetData>
  <mergeCells count="2">
    <mergeCell ref="A1:E1"/>
    <mergeCell ref="A26:E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38135"/>
    <outlinePr summaryBelow="1" summaryRight="1"/>
    <pageSetUpPr/>
  </sheetPr>
  <dimension ref="A1:C63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</cols>
  <sheetData>
    <row r="1" ht="40" customHeight="1">
      <c r="A1" s="8" t="inlineStr">
        <is>
          <t>חישוב מס הכנסה וביטוח לאומי — שנת מס 2025</t>
        </is>
      </c>
      <c r="B1" s="2" t="n"/>
      <c r="C1" s="3" t="n"/>
    </row>
    <row r="2" ht="18" customHeight="1">
      <c r="A2" s="22" t="inlineStr">
        <is>
          <t>צבע כחול = קלט ידני  |  צבע שחור = נוסחה  |  צבע ירוק = קישור לגיליון אחר</t>
        </is>
      </c>
    </row>
    <row r="3" ht="28" customHeight="1">
      <c r="A3" s="4" t="inlineStr">
        <is>
          <t>א. סיכום הכנסות והוצאות</t>
        </is>
      </c>
      <c r="B3" s="2" t="n"/>
      <c r="C3" s="3" t="n"/>
    </row>
    <row r="4">
      <c r="A4" s="23" t="inlineStr">
        <is>
          <t>סה"כ הכנסות שנתיות</t>
        </is>
      </c>
      <c r="B4" s="24">
        <f>הכנסות!E16</f>
        <v/>
      </c>
      <c r="C4" s="23" t="inlineStr"/>
    </row>
    <row r="5">
      <c r="A5" s="23" t="inlineStr">
        <is>
          <t>סה"כ הוצאות מוכרות</t>
        </is>
      </c>
      <c r="B5" s="24">
        <f>הוצאות!D24</f>
        <v/>
      </c>
      <c r="C5" s="23" t="inlineStr"/>
    </row>
    <row r="6">
      <c r="A6" s="25" t="inlineStr">
        <is>
          <t>רווח גולמי (לפני ניכויים)</t>
        </is>
      </c>
      <c r="B6" s="26">
        <f>B4-B5</f>
        <v/>
      </c>
      <c r="C6" s="23" t="inlineStr"/>
    </row>
    <row r="7"/>
    <row r="8" ht="28" customHeight="1">
      <c r="A8" s="4" t="inlineStr">
        <is>
          <t>ב. הנחות — ביטוח לאומי (עצמאי) 2025</t>
        </is>
      </c>
      <c r="B8" s="2" t="n"/>
      <c r="C8" s="3" t="n"/>
    </row>
    <row r="9">
      <c r="A9" s="23" t="inlineStr">
        <is>
          <t>שכר ממוצע במשק (חודשי)</t>
        </is>
      </c>
      <c r="B9" s="10" t="n">
        <v>13087</v>
      </c>
      <c r="C9" s="27" t="inlineStr">
        <is>
          <t>עדכן לפי נתוני המל"ל לשנת 2025</t>
        </is>
      </c>
    </row>
    <row r="10">
      <c r="A10" s="23" t="inlineStr">
        <is>
          <t>60% מהשכר הממוצע (חודשי)</t>
        </is>
      </c>
      <c r="B10" s="11">
        <f>B9*0.6</f>
        <v/>
      </c>
      <c r="C10" s="27" t="inlineStr"/>
    </row>
    <row r="11">
      <c r="A11" s="23" t="inlineStr">
        <is>
          <t>60% מהשכר הממוצע (שנתי)</t>
        </is>
      </c>
      <c r="B11" s="11">
        <f>B10*12</f>
        <v/>
      </c>
      <c r="C11" s="27" t="inlineStr"/>
    </row>
    <row r="12">
      <c r="A12" s="23" t="inlineStr">
        <is>
          <t>שיעור ב"ל על הכנסה עד הסף</t>
        </is>
      </c>
      <c r="B12" s="28" t="n">
        <v>0.0672</v>
      </c>
      <c r="C12" s="27" t="inlineStr"/>
    </row>
    <row r="13">
      <c r="A13" s="23" t="inlineStr">
        <is>
          <t>שיעור ב"ל על הכנסה מעל הסף</t>
        </is>
      </c>
      <c r="B13" s="28" t="n">
        <v>0.1123</v>
      </c>
      <c r="C13" s="27" t="inlineStr"/>
    </row>
    <row r="14">
      <c r="A14" s="23" t="inlineStr">
        <is>
          <t>שיעור ביטוח בריאות עד הסף</t>
        </is>
      </c>
      <c r="B14" s="28" t="n">
        <v>0.031</v>
      </c>
      <c r="C14" s="27" t="inlineStr"/>
    </row>
    <row r="15">
      <c r="A15" s="23" t="inlineStr">
        <is>
          <t>שיעור ביטוח בריאות מעל הסף</t>
        </is>
      </c>
      <c r="B15" s="28" t="n">
        <v>0.05</v>
      </c>
      <c r="C15" s="27" t="inlineStr"/>
    </row>
    <row r="16">
      <c r="A16" s="23" t="inlineStr">
        <is>
          <t>% ניכוי ב"ל מהכנסה חייבת במס</t>
        </is>
      </c>
      <c r="B16" s="28" t="n">
        <v>0.52</v>
      </c>
      <c r="C16" s="27" t="inlineStr">
        <is>
          <t>52% מהב"ל ששולם מוכר כהוצאה</t>
        </is>
      </c>
    </row>
    <row r="17"/>
    <row r="18" ht="28" customHeight="1">
      <c r="A18" s="4" t="inlineStr">
        <is>
          <t>ג. חישוב ביטוח לאומי</t>
        </is>
      </c>
      <c r="B18" s="2" t="n"/>
      <c r="C18" s="3" t="n"/>
    </row>
    <row r="19">
      <c r="A19" s="23" t="inlineStr">
        <is>
          <t>הכנסה חייבת לב"ל</t>
        </is>
      </c>
      <c r="B19" s="11">
        <f>B6</f>
        <v/>
      </c>
      <c r="C19" s="23" t="inlineStr"/>
    </row>
    <row r="20">
      <c r="A20" s="23" t="inlineStr">
        <is>
          <t>הכנסה עד הסף</t>
        </is>
      </c>
      <c r="B20" s="11">
        <f>MIN(B19,B11)</f>
        <v/>
      </c>
      <c r="C20" s="23" t="inlineStr"/>
    </row>
    <row r="21">
      <c r="A21" s="23" t="inlineStr">
        <is>
          <t>הכנסה מעל הסף</t>
        </is>
      </c>
      <c r="B21" s="11">
        <f>MAX(0,B19-B11)</f>
        <v/>
      </c>
      <c r="C21" s="23" t="inlineStr"/>
    </row>
    <row r="22">
      <c r="A22" s="23" t="inlineStr">
        <is>
          <t>ב"ל+בריאות על הכנסה עד הסף</t>
        </is>
      </c>
      <c r="B22" s="11">
        <f>B20*(B12+B14)</f>
        <v/>
      </c>
      <c r="C22" s="23" t="inlineStr"/>
    </row>
    <row r="23">
      <c r="A23" s="23" t="inlineStr">
        <is>
          <t>ב"ל+בריאות על הכנסה מעל הסף</t>
        </is>
      </c>
      <c r="B23" s="11">
        <f>B21*(B13+B15)</f>
        <v/>
      </c>
      <c r="C23" s="23" t="inlineStr"/>
    </row>
    <row r="24">
      <c r="A24" s="29" t="inlineStr">
        <is>
          <t>סה"כ ביטוח לאומי + בריאות</t>
        </is>
      </c>
      <c r="B24" s="14">
        <f>B22+B23</f>
        <v/>
      </c>
      <c r="C24" s="21" t="inlineStr"/>
    </row>
    <row r="25">
      <c r="A25" s="29" t="inlineStr">
        <is>
          <t>ניכוי לצורכי מס הכנסה (52%)</t>
        </is>
      </c>
      <c r="B25" s="14">
        <f>B24*B16</f>
        <v/>
      </c>
      <c r="C25" s="21" t="inlineStr"/>
    </row>
    <row r="26"/>
    <row r="27" ht="28" customHeight="1">
      <c r="A27" s="4" t="inlineStr">
        <is>
          <t>ד. מדרגות מס הכנסה 2025</t>
        </is>
      </c>
      <c r="B27" s="2" t="n"/>
      <c r="C27" s="3" t="n"/>
    </row>
    <row r="28">
      <c r="A28" s="30" t="inlineStr">
        <is>
          <t>מדרגה</t>
        </is>
      </c>
      <c r="B28" s="30" t="inlineStr">
        <is>
          <t>גבול עליון (₪)</t>
        </is>
      </c>
      <c r="C28" s="30" t="inlineStr">
        <is>
          <t>שיעור מס</t>
        </is>
      </c>
    </row>
    <row r="29">
      <c r="A29" s="31" t="inlineStr">
        <is>
          <t>מדרגה 1</t>
        </is>
      </c>
      <c r="B29" s="32" t="n">
        <v>84120</v>
      </c>
      <c r="C29" s="33" t="n">
        <v>0.1</v>
      </c>
    </row>
    <row r="30">
      <c r="A30" s="34" t="inlineStr">
        <is>
          <t>מדרגה 2</t>
        </is>
      </c>
      <c r="B30" s="32" t="n">
        <v>120720</v>
      </c>
      <c r="C30" s="33" t="n">
        <v>0.14</v>
      </c>
    </row>
    <row r="31">
      <c r="A31" s="31" t="inlineStr">
        <is>
          <t>מדרגה 3</t>
        </is>
      </c>
      <c r="B31" s="32" t="n">
        <v>193800</v>
      </c>
      <c r="C31" s="33" t="n">
        <v>0.2</v>
      </c>
    </row>
    <row r="32">
      <c r="A32" s="34" t="inlineStr">
        <is>
          <t>מדרגה 4</t>
        </is>
      </c>
      <c r="B32" s="32" t="n">
        <v>269280</v>
      </c>
      <c r="C32" s="33" t="n">
        <v>0.31</v>
      </c>
    </row>
    <row r="33">
      <c r="A33" s="31" t="inlineStr">
        <is>
          <t>מדרגה 5</t>
        </is>
      </c>
      <c r="B33" s="32" t="n">
        <v>560280</v>
      </c>
      <c r="C33" s="33" t="n">
        <v>0.35</v>
      </c>
    </row>
    <row r="34">
      <c r="A34" s="34" t="inlineStr">
        <is>
          <t>מדרגה 6</t>
        </is>
      </c>
      <c r="B34" s="32" t="n">
        <v>721560</v>
      </c>
      <c r="C34" s="33" t="n">
        <v>0.47</v>
      </c>
    </row>
    <row r="35">
      <c r="A35" s="31" t="inlineStr">
        <is>
          <t>מדרגה 7</t>
        </is>
      </c>
      <c r="B35" s="35" t="inlineStr">
        <is>
          <t>ללא גבול</t>
        </is>
      </c>
      <c r="C35" s="33" t="n">
        <v>0.5</v>
      </c>
    </row>
    <row r="36" ht="28" customHeight="1">
      <c r="A36" s="4" t="inlineStr">
        <is>
          <t>ה. חישוב מס הכנסה</t>
        </is>
      </c>
      <c r="B36" s="2" t="n"/>
      <c r="C36" s="3" t="n"/>
    </row>
    <row r="37">
      <c r="A37" s="29" t="inlineStr">
        <is>
          <t>הכנסה חייבת במס (לאחר ניכוי ב"ל)</t>
        </is>
      </c>
      <c r="B37" s="14">
        <f>B6-B25</f>
        <v/>
      </c>
      <c r="C37" s="21" t="inlineStr"/>
    </row>
    <row r="38">
      <c r="A38" s="30" t="inlineStr">
        <is>
          <t>חישוב מס לפי מדרגות</t>
        </is>
      </c>
      <c r="B38" s="2" t="n"/>
      <c r="C38" s="3" t="n"/>
    </row>
    <row r="39">
      <c r="A39" s="16" t="inlineStr">
        <is>
          <t>מס מדרגה 1</t>
        </is>
      </c>
      <c r="B39" s="36">
        <f>MAX(0,MIN($B$37,B29))*C29</f>
        <v/>
      </c>
      <c r="C39" s="16" t="inlineStr"/>
    </row>
    <row r="40">
      <c r="A40" s="19" t="inlineStr">
        <is>
          <t>מס מדרגה 2</t>
        </is>
      </c>
      <c r="B40" s="37">
        <f>MAX(0,MIN($B$37,B30)-B29)*C30</f>
        <v/>
      </c>
      <c r="C40" s="19" t="inlineStr"/>
    </row>
    <row r="41">
      <c r="A41" s="16" t="inlineStr">
        <is>
          <t>מס מדרגה 3</t>
        </is>
      </c>
      <c r="B41" s="36">
        <f>MAX(0,MIN($B$37,B31)-B30)*C31</f>
        <v/>
      </c>
      <c r="C41" s="16" t="inlineStr"/>
    </row>
    <row r="42">
      <c r="A42" s="19" t="inlineStr">
        <is>
          <t>מס מדרגה 4</t>
        </is>
      </c>
      <c r="B42" s="37">
        <f>MAX(0,MIN($B$37,B32)-B31)*C32</f>
        <v/>
      </c>
      <c r="C42" s="19" t="inlineStr"/>
    </row>
    <row r="43">
      <c r="A43" s="16" t="inlineStr">
        <is>
          <t>מס מדרגה 5</t>
        </is>
      </c>
      <c r="B43" s="36">
        <f>MAX(0,MIN($B$37,B33)-B32)*C33</f>
        <v/>
      </c>
      <c r="C43" s="16" t="inlineStr"/>
    </row>
    <row r="44">
      <c r="A44" s="19" t="inlineStr">
        <is>
          <t>מס מדרגה 6</t>
        </is>
      </c>
      <c r="B44" s="37">
        <f>MAX(0,MIN($B$37,B34)-B33)*C34</f>
        <v/>
      </c>
      <c r="C44" s="19" t="inlineStr"/>
    </row>
    <row r="45">
      <c r="A45" s="16" t="inlineStr">
        <is>
          <t>מס מדרגה 7</t>
        </is>
      </c>
      <c r="B45" s="36">
        <f>MAX(0,$B$37-B34)*C35</f>
        <v/>
      </c>
      <c r="C45" s="16" t="inlineStr"/>
    </row>
    <row r="46">
      <c r="A46" s="29" t="inlineStr">
        <is>
          <t>סה"כ מס לפני זיכויים</t>
        </is>
      </c>
      <c r="B46" s="14">
        <f>SUM(B39:B45)</f>
        <v/>
      </c>
      <c r="C46" s="21" t="inlineStr"/>
    </row>
    <row r="47"/>
    <row r="48" ht="28" customHeight="1">
      <c r="A48" s="4" t="inlineStr">
        <is>
          <t>ו. נקודות זיכוי</t>
        </is>
      </c>
      <c r="B48" s="2" t="n"/>
      <c r="C48" s="3" t="n"/>
    </row>
    <row r="49">
      <c r="A49" s="23" t="inlineStr">
        <is>
          <t>ערך נקודת זיכוי שנתי (₪)</t>
        </is>
      </c>
      <c r="B49" s="10" t="n">
        <v>2904</v>
      </c>
      <c r="C49" s="27" t="inlineStr">
        <is>
          <t>עדכן לפי נתוני רשות המסים לשנת 2025</t>
        </is>
      </c>
    </row>
    <row r="50">
      <c r="A50" s="23" t="inlineStr">
        <is>
          <t>מספר נקודות זיכוי</t>
        </is>
      </c>
      <c r="B50" s="38" t="n">
        <v>2.25</v>
      </c>
      <c r="C50" s="27" t="inlineStr">
        <is>
          <t>תושב ישראל=2.25 | נשוי+0.5 | ילד&lt;5=2, ילד 5-17=1</t>
        </is>
      </c>
    </row>
    <row r="51">
      <c r="A51" s="29" t="inlineStr">
        <is>
          <t>סה"כ זיכוי מנקודות</t>
        </is>
      </c>
      <c r="B51" s="14">
        <f>B49*B50</f>
        <v/>
      </c>
      <c r="C51" s="27" t="inlineStr"/>
    </row>
    <row r="52">
      <c r="A52" s="23" t="inlineStr">
        <is>
          <t>זיכויים נוספים (פנסיה, קה"ש וכד')</t>
        </is>
      </c>
      <c r="B52" s="10" t="n">
        <v>0</v>
      </c>
      <c r="C52" s="27" t="inlineStr"/>
    </row>
    <row r="53">
      <c r="A53" s="29" t="inlineStr">
        <is>
          <t>סה"כ זיכויים</t>
        </is>
      </c>
      <c r="B53" s="14">
        <f>B51+B52</f>
        <v/>
      </c>
      <c r="C53" s="27" t="inlineStr"/>
    </row>
    <row r="54"/>
    <row r="55" ht="28" customHeight="1">
      <c r="A55" s="4" t="inlineStr">
        <is>
          <t>ז. חישוב סופי — מה אני חייב?</t>
        </is>
      </c>
      <c r="B55" s="2" t="n"/>
      <c r="C55" s="3" t="n"/>
    </row>
    <row r="56">
      <c r="A56" s="23" t="inlineStr">
        <is>
          <t>מס הכנסה לפני זיכויים</t>
        </is>
      </c>
      <c r="B56" s="11">
        <f>B46</f>
        <v/>
      </c>
      <c r="C56" s="39" t="inlineStr"/>
    </row>
    <row r="57">
      <c r="A57" s="23" t="inlineStr">
        <is>
          <t>פחות: זיכויים</t>
        </is>
      </c>
      <c r="B57" s="11">
        <f>B53</f>
        <v/>
      </c>
      <c r="C57" s="39" t="inlineStr"/>
    </row>
    <row r="58">
      <c r="A58" s="29" t="inlineStr">
        <is>
          <t>מס הכנסה לתשלום</t>
        </is>
      </c>
      <c r="B58" s="14">
        <f>MAX(0,B56-B57)</f>
        <v/>
      </c>
      <c r="C58" s="39" t="inlineStr"/>
    </row>
    <row r="59">
      <c r="A59" s="23" t="inlineStr">
        <is>
          <t>מקדמות מס ששולמו</t>
        </is>
      </c>
      <c r="B59" s="10" t="n">
        <v>0</v>
      </c>
      <c r="C59" s="39" t="inlineStr">
        <is>
          <t>מקדמות חודשיות לפי דרישת פ"ש</t>
        </is>
      </c>
    </row>
    <row r="60">
      <c r="A60" s="23" t="inlineStr">
        <is>
          <t>ניכוי מס במקור (מלקוחות)</t>
        </is>
      </c>
      <c r="B60" s="10" t="n">
        <v>0</v>
      </c>
      <c r="C60" s="39" t="inlineStr">
        <is>
          <t>לפי אישורי ניכוי מלקוחות</t>
        </is>
      </c>
    </row>
    <row r="61">
      <c r="A61" s="29" t="inlineStr">
        <is>
          <t>יתרה לתשלום / (להחזר)</t>
        </is>
      </c>
      <c r="B61" s="14">
        <f>B58-B59-B60</f>
        <v/>
      </c>
      <c r="C61" s="39" t="inlineStr">
        <is>
          <t>סכום חיובי = לתשלום | שלילי = להחזר</t>
        </is>
      </c>
    </row>
    <row r="62"/>
    <row r="63">
      <c r="A63" s="40" t="inlineStr">
        <is>
          <t>📋 לתשלום לביטוח לאומי בנפרד:</t>
        </is>
      </c>
      <c r="B63" s="41">
        <f>B24</f>
        <v/>
      </c>
      <c r="C63" s="42" t="inlineStr">
        <is>
          <t>מועד תשלום מוסכם עם הב"ל</t>
        </is>
      </c>
    </row>
    <row r="64"/>
    <row r="65"/>
    <row r="66"/>
    <row r="67"/>
  </sheetData>
  <mergeCells count="10">
    <mergeCell ref="A36:C36"/>
    <mergeCell ref="A1:C1"/>
    <mergeCell ref="A8:C8"/>
    <mergeCell ref="A18:C18"/>
    <mergeCell ref="A27:C27"/>
    <mergeCell ref="A3:C3"/>
    <mergeCell ref="A55:C55"/>
    <mergeCell ref="A48:C48"/>
    <mergeCell ref="A38:C38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B37"/>
  <sheetViews>
    <sheetView rightToLeft="1"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 ht="38" customHeight="1">
      <c r="A1" s="8" t="inlineStr">
        <is>
          <t>הנחיות הגשת הדוח השנתי המקוצר — עוסק זעיר</t>
        </is>
      </c>
      <c r="B1" s="3" t="n"/>
    </row>
    <row r="2" ht="6" customHeight="1"/>
    <row r="3" ht="28" customHeight="1">
      <c r="A3" s="43" t="inlineStr">
        <is>
          <t>שלב 1: איסוף מסמכים</t>
        </is>
      </c>
    </row>
    <row r="4" ht="22" customHeight="1">
      <c r="A4" s="44" t="inlineStr">
        <is>
          <t>• קבלות וחשבוניות של כל הוצאות עסקיות לשנת 2025</t>
        </is>
      </c>
    </row>
    <row r="5" ht="22" customHeight="1">
      <c r="A5" s="44" t="inlineStr">
        <is>
          <t>• תלושי שכר (אם עובד שכיר במקביל)</t>
        </is>
      </c>
    </row>
    <row r="6" ht="22" customHeight="1">
      <c r="A6" s="44" t="inlineStr">
        <is>
          <t>• אישורי הפרשות לקרן פנסיה / קרן השתלמות</t>
        </is>
      </c>
    </row>
    <row r="7" ht="22" customHeight="1">
      <c r="A7" s="44" t="inlineStr">
        <is>
          <t>• אישורי מקדמות מס ששולמו (פ"ש)</t>
        </is>
      </c>
    </row>
    <row r="8" ht="22" customHeight="1">
      <c r="A8" s="44" t="inlineStr">
        <is>
          <t>• אישורי ניכוי מס במקור מלקוחות</t>
        </is>
      </c>
    </row>
    <row r="9" ht="22" customHeight="1">
      <c r="A9" s="44" t="inlineStr">
        <is>
          <t>• אישורי ריבית ושבח מנכסים (אם רלוונטי)</t>
        </is>
      </c>
    </row>
    <row r="11" ht="28" customHeight="1">
      <c r="A11" s="43" t="inlineStr">
        <is>
          <t>שלב 2: מילוי הנתונים בקובץ זה</t>
        </is>
      </c>
    </row>
    <row r="12" ht="22" customHeight="1">
      <c r="A12" s="44" t="inlineStr">
        <is>
          <t>• גיליון 'הכנסות' — מלא הכנסות חודשיות לפי קטגוריה</t>
        </is>
      </c>
    </row>
    <row r="13" ht="22" customHeight="1">
      <c r="A13" s="44" t="inlineStr">
        <is>
          <t>• גיליון 'הוצאות' — מלא הוצאות לפי קטגוריה ואחוז הכרה</t>
        </is>
      </c>
    </row>
    <row r="14" ht="22" customHeight="1">
      <c r="A14" s="44" t="inlineStr">
        <is>
          <t>• גיליון 'חישוב מס' — עדכן נקודות זיכוי, מקדמות וניכויים</t>
        </is>
      </c>
    </row>
    <row r="16" ht="28" customHeight="1">
      <c r="A16" s="43" t="inlineStr">
        <is>
          <t>שלב 3: הגשה מקוונת — אתר רשות המסים</t>
        </is>
      </c>
    </row>
    <row r="17" ht="22" customHeight="1">
      <c r="A17" s="44" t="inlineStr">
        <is>
          <t>• כנס לאתר: www.taxes.gov.il → 'שירותים אישיים'</t>
        </is>
      </c>
    </row>
    <row r="18" ht="22" customHeight="1">
      <c r="A18" s="44" t="inlineStr">
        <is>
          <t>• בחר: 'הגשת דוח שנתי' ← 'עוסק יחיד'</t>
        </is>
      </c>
    </row>
    <row r="19" ht="22" customHeight="1">
      <c r="A19" s="44" t="inlineStr">
        <is>
          <t>• מלא את הנתונים לפי חישובי הקובץ (טופס 137 מקוצר)</t>
        </is>
      </c>
    </row>
    <row r="21" ht="28" customHeight="1">
      <c r="A21" s="43" t="inlineStr">
        <is>
          <t>שלב 4: מועדים חשובים</t>
        </is>
      </c>
    </row>
    <row r="22" ht="22" customHeight="1">
      <c r="A22" s="44" t="inlineStr">
        <is>
          <t>• הגשת הדוח: עד 30 באפריל 2026</t>
        </is>
      </c>
    </row>
    <row r="23" ht="22" customHeight="1">
      <c r="A23" s="44" t="inlineStr">
        <is>
          <t>• תשלום יתרת מס: עד 30 באפריל 2026</t>
        </is>
      </c>
    </row>
    <row r="24" ht="22" customHeight="1">
      <c r="A24" s="44" t="inlineStr">
        <is>
          <t>• קנס איחור: 0.4% לחודש + הצמדה</t>
        </is>
      </c>
    </row>
    <row r="25" ht="22" customHeight="1">
      <c r="A25" s="44" t="inlineStr">
        <is>
          <t>• הגשה ידנית: בסניף פקיד שומה הקרוב</t>
        </is>
      </c>
    </row>
    <row r="27" ht="28" customHeight="1">
      <c r="A27" s="43" t="inlineStr">
        <is>
          <t>שלב 5: לאחר ההגשה</t>
        </is>
      </c>
    </row>
    <row r="28" ht="22" customHeight="1">
      <c r="A28" s="44" t="inlineStr">
        <is>
          <t>• שמור אישור הגשה + העתק מלא של הדוח</t>
        </is>
      </c>
    </row>
    <row r="29" ht="22" customHeight="1">
      <c r="A29" s="44" t="inlineStr">
        <is>
          <t>• שמור כל המסמכים 7 שנים לפחות</t>
        </is>
      </c>
    </row>
    <row r="30" ht="22" customHeight="1">
      <c r="A30" s="44" t="inlineStr">
        <is>
          <t>• המתן לשומה מפקיד השומה (אם תגיע)</t>
        </is>
      </c>
    </row>
    <row r="32" ht="28" customHeight="1">
      <c r="A32" s="43" t="inlineStr">
        <is>
          <t>סף עוסק זעיר 2025 — חשוב!</t>
        </is>
      </c>
    </row>
    <row r="33" ht="22" customHeight="1">
      <c r="A33" s="44" t="inlineStr">
        <is>
          <t>• מחזור עד כ-120,000 ₪ = עוסק זעיר (פטור ממע"מ)</t>
        </is>
      </c>
    </row>
    <row r="34" ht="22" customHeight="1">
      <c r="A34" s="44" t="inlineStr">
        <is>
          <t>• מחזור מעל הסף = עוסק מורשה (חייב לרשום + לדווח מע"מ)</t>
        </is>
      </c>
    </row>
    <row r="35" ht="22" customHeight="1">
      <c r="A35" s="44" t="inlineStr">
        <is>
          <t>• חצית את הסף? — חובה להודיע לרשות המסים תוך 30 יום!</t>
        </is>
      </c>
    </row>
    <row r="37" ht="28" customHeight="1">
      <c r="A37" s="43" t="inlineStr">
        <is>
          <t>⚠  הגיליון מספק הערכה בלבד — מומלץ לאמת עם רו"ח</t>
        </is>
      </c>
    </row>
  </sheetData>
  <mergeCells count="30">
    <mergeCell ref="A24:B24"/>
    <mergeCell ref="A30:B30"/>
    <mergeCell ref="A11:B11"/>
    <mergeCell ref="A1:B1"/>
    <mergeCell ref="A6:B6"/>
    <mergeCell ref="A16:B16"/>
    <mergeCell ref="A7:B7"/>
    <mergeCell ref="A25:B25"/>
    <mergeCell ref="A37:B37"/>
    <mergeCell ref="A18:B18"/>
    <mergeCell ref="A27:B27"/>
    <mergeCell ref="A3:B3"/>
    <mergeCell ref="A12:B12"/>
    <mergeCell ref="A21:B21"/>
    <mergeCell ref="A33:B33"/>
    <mergeCell ref="A5:B5"/>
    <mergeCell ref="A32:B32"/>
    <mergeCell ref="A14:B14"/>
    <mergeCell ref="A23:B23"/>
    <mergeCell ref="A17:B17"/>
    <mergeCell ref="A8:B8"/>
    <mergeCell ref="A22:B22"/>
    <mergeCell ref="A35:B35"/>
    <mergeCell ref="A4:B4"/>
    <mergeCell ref="A29:B29"/>
    <mergeCell ref="A19:B19"/>
    <mergeCell ref="A28:B28"/>
    <mergeCell ref="A13:B13"/>
    <mergeCell ref="A9:B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2026-05-25T12:16:00Z</dcterms:created>
  <dcterms:modified xsi:type="dcterms:W3CDTF">2026-05-25T12:16:00Z</dcterms:modified>
</cp:coreProperties>
</file>